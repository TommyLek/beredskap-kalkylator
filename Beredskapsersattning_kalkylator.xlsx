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edskapsersätt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#,##0.00 &quot;kr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5" fontId="2" fillId="0" borderId="1" pivotButton="0" quotePrefix="0" xfId="0"/>
    <xf numFmtId="10" fontId="3" fillId="0" borderId="0" pivotButton="0" quotePrefix="0" xfId="0"/>
    <xf numFmtId="0" fontId="4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Beredskapsersättning - Beredskapstjänst II</t>
        </is>
      </c>
    </row>
    <row r="2">
      <c r="A2" t="inlineStr">
        <is>
          <t>Handelns tjänstemannaavtal (1 maj 2025 - 30 april 2027)</t>
        </is>
      </c>
    </row>
    <row r="4">
      <c r="A4" s="2" t="inlineStr">
        <is>
          <t>INMATNING</t>
        </is>
      </c>
    </row>
    <row r="5">
      <c r="A5" t="inlineStr">
        <is>
          <t>Månadslön:</t>
        </is>
      </c>
      <c r="B5" s="3" t="n">
        <v>40000</v>
      </c>
    </row>
    <row r="7">
      <c r="A7" s="2" t="inlineStr">
        <is>
          <t>TIMMAR PER VECKA (normalvecka utan helgdag)</t>
        </is>
      </c>
    </row>
    <row r="8">
      <c r="A8" s="4" t="inlineStr">
        <is>
          <t>Ersättningsnivå</t>
        </is>
      </c>
      <c r="B8" s="4" t="inlineStr">
        <is>
          <t>Period</t>
        </is>
      </c>
      <c r="C8" s="4" t="inlineStr">
        <is>
          <t>Timmar</t>
        </is>
      </c>
      <c r="D8" s="4" t="inlineStr">
        <is>
          <t>Divisor</t>
        </is>
      </c>
      <c r="E8" s="4" t="inlineStr">
        <is>
          <t>Ersättning/vecka</t>
        </is>
      </c>
    </row>
    <row r="9">
      <c r="A9" s="5" t="inlineStr">
        <is>
          <t>Grundersättning</t>
        </is>
      </c>
      <c r="B9" s="5" t="inlineStr">
        <is>
          <t>Mån-fre kvällar/nätter + mån morgon</t>
        </is>
      </c>
      <c r="C9" s="6" t="n">
        <v>69</v>
      </c>
      <c r="D9" s="6" t="n">
        <v>1400</v>
      </c>
      <c r="E9" s="7">
        <f>C9*$B$5/D9</f>
        <v/>
      </c>
    </row>
    <row r="10">
      <c r="A10" s="5" t="inlineStr">
        <is>
          <t>Fredagskväll/natt</t>
        </is>
      </c>
      <c r="B10" s="5" t="inlineStr">
        <is>
          <t>Fre 18:00 - Lör 07:00</t>
        </is>
      </c>
      <c r="C10" s="6" t="n">
        <v>13</v>
      </c>
      <c r="D10" s="6" t="n">
        <v>1000</v>
      </c>
      <c r="E10" s="7">
        <f>C10*$B$5/D10</f>
        <v/>
      </c>
    </row>
    <row r="11">
      <c r="A11" s="5" t="inlineStr">
        <is>
          <t>Helgersättning</t>
        </is>
      </c>
      <c r="B11" s="5" t="inlineStr">
        <is>
          <t>Lör 07:00 - Sön 24:00</t>
        </is>
      </c>
      <c r="C11" s="6" t="n">
        <v>41</v>
      </c>
      <c r="D11" s="6" t="n">
        <v>700</v>
      </c>
      <c r="E11" s="7">
        <f>C11*$B$5/D11</f>
        <v/>
      </c>
    </row>
    <row r="12">
      <c r="A12" s="8" t="inlineStr">
        <is>
          <t>TOTALT</t>
        </is>
      </c>
      <c r="B12" s="5" t="n"/>
      <c r="C12" s="9">
        <f>SUM(C9:C11)</f>
        <v/>
      </c>
      <c r="D12" s="5" t="n"/>
      <c r="E12" s="10">
        <f>SUM(E9:E11)</f>
        <v/>
      </c>
    </row>
    <row r="14">
      <c r="A14" t="inlineStr">
        <is>
          <t>Andel av månadslön:</t>
        </is>
      </c>
      <c r="B14" s="11">
        <f>E12/B5</f>
        <v/>
      </c>
    </row>
    <row r="16">
      <c r="A16" s="2" t="inlineStr">
        <is>
          <t>DETALJERAD TIDFÖRDELNING</t>
        </is>
      </c>
    </row>
    <row r="17">
      <c r="A17" s="12" t="inlineStr">
        <is>
          <t>Dag</t>
        </is>
      </c>
      <c r="B17" s="12" t="inlineStr">
        <is>
          <t>Period</t>
        </is>
      </c>
      <c r="C17" s="12" t="inlineStr">
        <is>
          <t>Timmar</t>
        </is>
      </c>
      <c r="D17" s="12" t="inlineStr">
        <is>
          <t>Ersättningsnivå</t>
        </is>
      </c>
    </row>
    <row r="18">
      <c r="A18" s="5" t="inlineStr">
        <is>
          <t>Måndag</t>
        </is>
      </c>
      <c r="B18" s="5" t="inlineStr">
        <is>
          <t>18:00-24:00</t>
        </is>
      </c>
      <c r="C18" s="6" t="n">
        <v>6</v>
      </c>
      <c r="D18" s="5" t="inlineStr">
        <is>
          <t>Grund (1/1400)</t>
        </is>
      </c>
    </row>
    <row r="19">
      <c r="A19" s="5" t="inlineStr">
        <is>
          <t>Tisdag</t>
        </is>
      </c>
      <c r="B19" s="5" t="inlineStr">
        <is>
          <t>00:00-09:00</t>
        </is>
      </c>
      <c r="C19" s="6" t="n">
        <v>9</v>
      </c>
      <c r="D19" s="5" t="inlineStr">
        <is>
          <t>Grund (1/1400)</t>
        </is>
      </c>
    </row>
    <row r="20">
      <c r="A20" s="5" t="inlineStr">
        <is>
          <t>Tisdag</t>
        </is>
      </c>
      <c r="B20" s="5" t="inlineStr">
        <is>
          <t>18:00-24:00</t>
        </is>
      </c>
      <c r="C20" s="6" t="n">
        <v>6</v>
      </c>
      <c r="D20" s="5" t="inlineStr">
        <is>
          <t>Grund (1/1400)</t>
        </is>
      </c>
    </row>
    <row r="21">
      <c r="A21" s="5" t="inlineStr">
        <is>
          <t>Onsdag</t>
        </is>
      </c>
      <c r="B21" s="5" t="inlineStr">
        <is>
          <t>00:00-09:00</t>
        </is>
      </c>
      <c r="C21" s="6" t="n">
        <v>9</v>
      </c>
      <c r="D21" s="5" t="inlineStr">
        <is>
          <t>Grund (1/1400)</t>
        </is>
      </c>
    </row>
    <row r="22">
      <c r="A22" s="5" t="inlineStr">
        <is>
          <t>Onsdag</t>
        </is>
      </c>
      <c r="B22" s="5" t="inlineStr">
        <is>
          <t>18:00-24:00</t>
        </is>
      </c>
      <c r="C22" s="6" t="n">
        <v>6</v>
      </c>
      <c r="D22" s="5" t="inlineStr">
        <is>
          <t>Grund (1/1400)</t>
        </is>
      </c>
    </row>
    <row r="23">
      <c r="A23" s="5" t="inlineStr">
        <is>
          <t>Torsdag</t>
        </is>
      </c>
      <c r="B23" s="5" t="inlineStr">
        <is>
          <t>00:00-09:00</t>
        </is>
      </c>
      <c r="C23" s="6" t="n">
        <v>9</v>
      </c>
      <c r="D23" s="5" t="inlineStr">
        <is>
          <t>Grund (1/1400)</t>
        </is>
      </c>
    </row>
    <row r="24">
      <c r="A24" s="5" t="inlineStr">
        <is>
          <t>Torsdag</t>
        </is>
      </c>
      <c r="B24" s="5" t="inlineStr">
        <is>
          <t>18:00-24:00</t>
        </is>
      </c>
      <c r="C24" s="6" t="n">
        <v>6</v>
      </c>
      <c r="D24" s="5" t="inlineStr">
        <is>
          <t>Grund (1/1400)</t>
        </is>
      </c>
    </row>
    <row r="25">
      <c r="A25" s="5" t="inlineStr">
        <is>
          <t>Fredag</t>
        </is>
      </c>
      <c r="B25" s="5" t="inlineStr">
        <is>
          <t>00:00-09:00</t>
        </is>
      </c>
      <c r="C25" s="6" t="n">
        <v>9</v>
      </c>
      <c r="D25" s="5" t="inlineStr">
        <is>
          <t>Grund (1/1400)</t>
        </is>
      </c>
    </row>
    <row r="26">
      <c r="A26" s="5" t="inlineStr">
        <is>
          <t>Fredag</t>
        </is>
      </c>
      <c r="B26" s="5" t="inlineStr">
        <is>
          <t>18:00-24:00</t>
        </is>
      </c>
      <c r="C26" s="6" t="n">
        <v>6</v>
      </c>
      <c r="D26" s="5" t="inlineStr">
        <is>
          <t>Fredagskväll (1/1000)</t>
        </is>
      </c>
    </row>
    <row r="27">
      <c r="A27" s="5" t="inlineStr">
        <is>
          <t>Lördag</t>
        </is>
      </c>
      <c r="B27" s="5" t="inlineStr">
        <is>
          <t>00:00-07:00</t>
        </is>
      </c>
      <c r="C27" s="6" t="n">
        <v>7</v>
      </c>
      <c r="D27" s="5" t="inlineStr">
        <is>
          <t>Fredagskväll (1/1000)</t>
        </is>
      </c>
    </row>
    <row r="28">
      <c r="A28" s="5" t="inlineStr">
        <is>
          <t>Lördag</t>
        </is>
      </c>
      <c r="B28" s="5" t="inlineStr">
        <is>
          <t>07:00-24:00</t>
        </is>
      </c>
      <c r="C28" s="6" t="n">
        <v>17</v>
      </c>
      <c r="D28" s="5" t="inlineStr">
        <is>
          <t>Helg (1/700)</t>
        </is>
      </c>
    </row>
    <row r="29">
      <c r="A29" s="5" t="inlineStr">
        <is>
          <t>Söndag</t>
        </is>
      </c>
      <c r="B29" s="5" t="inlineStr">
        <is>
          <t>00:00-24:00</t>
        </is>
      </c>
      <c r="C29" s="6" t="n">
        <v>24</v>
      </c>
      <c r="D29" s="5" t="inlineStr">
        <is>
          <t>Helg (1/700)</t>
        </is>
      </c>
    </row>
    <row r="30">
      <c r="A30" s="5" t="inlineStr">
        <is>
          <t>Måndag</t>
        </is>
      </c>
      <c r="B30" s="5" t="inlineStr">
        <is>
          <t>00:00-09:00</t>
        </is>
      </c>
      <c r="C30" s="6" t="n">
        <v>9</v>
      </c>
      <c r="D30" s="5" t="inlineStr">
        <is>
          <t>Grund (1/1400)</t>
        </is>
      </c>
    </row>
    <row r="33">
      <c r="A33" s="2" t="inlineStr">
        <is>
          <t>RÄKNEEXEMPEL</t>
        </is>
      </c>
    </row>
    <row r="34">
      <c r="A34" s="12" t="inlineStr">
        <is>
          <t>Månadslön</t>
        </is>
      </c>
      <c r="B34" s="12" t="inlineStr">
        <is>
          <t>Ersättning/vecka</t>
        </is>
      </c>
    </row>
    <row r="35">
      <c r="A35" s="13" t="n">
        <v>30000</v>
      </c>
      <c r="B35" s="7">
        <f>30000*(69/1400+13/1000+41/700)</f>
        <v/>
      </c>
    </row>
    <row r="36">
      <c r="A36" s="13" t="n">
        <v>35000</v>
      </c>
      <c r="B36" s="7">
        <f>35000*(69/1400+13/1000+41/700)</f>
        <v/>
      </c>
    </row>
    <row r="37">
      <c r="A37" s="13" t="n">
        <v>40000</v>
      </c>
      <c r="B37" s="7">
        <f>40000*(69/1400+13/1000+41/700)</f>
        <v/>
      </c>
    </row>
    <row r="38">
      <c r="A38" s="13" t="n">
        <v>45000</v>
      </c>
      <c r="B38" s="7">
        <f>45000*(69/1400+13/1000+41/700)</f>
        <v/>
      </c>
    </row>
    <row r="39">
      <c r="A39" s="13" t="n">
        <v>50000</v>
      </c>
      <c r="B39" s="7">
        <f>50000*(69/1400+13/1000+41/700)</f>
        <v/>
      </c>
    </row>
  </sheetData>
  <mergeCells count="3">
    <mergeCell ref="A2:E2"/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2026-01-16T12:13:46Z</dcterms:created>
  <dcterms:modified xsi:type="dcterms:W3CDTF">2026-01-16T12:13:46Z</dcterms:modified>
</cp:coreProperties>
</file>